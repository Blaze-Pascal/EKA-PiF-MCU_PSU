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ze\Documents\GitHub\EKA-PiF-MCU_PSU\plots\"/>
    </mc:Choice>
  </mc:AlternateContent>
  <xr:revisionPtr revIDLastSave="0" documentId="13_ncr:1_{3ECD9A5C-53A7-4D48-8058-0DAEE794C2D0}" xr6:coauthVersionLast="47" xr6:coauthVersionMax="47" xr10:uidLastSave="{00000000-0000-0000-0000-000000000000}"/>
  <bookViews>
    <workbookView xWindow="-15330" yWindow="14300" windowWidth="19420" windowHeight="11500" xr2:uid="{8ED9D646-9E41-42AA-A718-C415918BC55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3" i="1" l="1"/>
  <c r="E22" i="1"/>
  <c r="E21" i="1"/>
  <c r="E20" i="1"/>
  <c r="E19" i="1"/>
  <c r="E18" i="1"/>
  <c r="E17" i="1"/>
  <c r="E16" i="1"/>
  <c r="E15" i="1"/>
  <c r="E14" i="1"/>
  <c r="E13" i="1"/>
  <c r="E12" i="1"/>
  <c r="E4" i="1"/>
  <c r="E5" i="1"/>
  <c r="E6" i="1"/>
  <c r="E7" i="1"/>
  <c r="E8" i="1"/>
  <c r="E9" i="1"/>
  <c r="E10" i="1"/>
  <c r="E11" i="1"/>
  <c r="E3" i="1"/>
</calcChain>
</file>

<file path=xl/sharedStrings.xml><?xml version="1.0" encoding="utf-8"?>
<sst xmlns="http://schemas.openxmlformats.org/spreadsheetml/2006/main" count="10" uniqueCount="9">
  <si>
    <t>Keysight 34465A [10A]</t>
  </si>
  <si>
    <t>n</t>
  </si>
  <si>
    <t>Brymen bm2257</t>
  </si>
  <si>
    <t>&lt;Regulator P</t>
  </si>
  <si>
    <t>Uin [V]</t>
  </si>
  <si>
    <t>Iin [A]</t>
  </si>
  <si>
    <t>Uout [A]</t>
  </si>
  <si>
    <t>Iout [A]</t>
  </si>
  <si>
    <t>BKPrecision 8601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</si>
</sst>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0.0000"/>
    <numFmt numFmtId="167" formatCode="0.00000"/>
  </numFmts>
  <fonts count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Arkusz1!$E$2</c:f>
              <c:strCache>
                <c:ptCount val="1"/>
                <c:pt idx="0">
                  <c:v>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Arkusz1!$D$3:$D$23</c:f>
              <c:numCache>
                <c:formatCode>0.000</c:formatCode>
                <c:ptCount val="21"/>
                <c:pt idx="0">
                  <c:v>0</c:v>
                </c:pt>
                <c:pt idx="1">
                  <c:v>9.9000000000000005E-2</c:v>
                </c:pt>
                <c:pt idx="2">
                  <c:v>0.19900000000000001</c:v>
                </c:pt>
                <c:pt idx="3">
                  <c:v>0.29899999999999999</c:v>
                </c:pt>
                <c:pt idx="4">
                  <c:v>0.39900000000000002</c:v>
                </c:pt>
                <c:pt idx="5">
                  <c:v>0.499</c:v>
                </c:pt>
                <c:pt idx="6">
                  <c:v>0.748</c:v>
                </c:pt>
                <c:pt idx="7">
                  <c:v>0.999</c:v>
                </c:pt>
                <c:pt idx="8">
                  <c:v>1.4990000000000001</c:v>
                </c:pt>
                <c:pt idx="9">
                  <c:v>2</c:v>
                </c:pt>
                <c:pt idx="10">
                  <c:v>2.5</c:v>
                </c:pt>
                <c:pt idx="11">
                  <c:v>2.9990000000000001</c:v>
                </c:pt>
                <c:pt idx="12">
                  <c:v>3.5</c:v>
                </c:pt>
                <c:pt idx="13">
                  <c:v>3.9990000000000001</c:v>
                </c:pt>
                <c:pt idx="14">
                  <c:v>4.5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Arkusz1!$E$3:$E$23</c:f>
              <c:numCache>
                <c:formatCode>0.00</c:formatCode>
                <c:ptCount val="21"/>
                <c:pt idx="0">
                  <c:v>0</c:v>
                </c:pt>
                <c:pt idx="1">
                  <c:v>38.002983802216541</c:v>
                </c:pt>
                <c:pt idx="2">
                  <c:v>55.148775334296573</c:v>
                </c:pt>
                <c:pt idx="3">
                  <c:v>64.820939585081675</c:v>
                </c:pt>
                <c:pt idx="4">
                  <c:v>70.952371671222807</c:v>
                </c:pt>
                <c:pt idx="5">
                  <c:v>75.122249887771346</c:v>
                </c:pt>
                <c:pt idx="6">
                  <c:v>80.885624027201487</c:v>
                </c:pt>
                <c:pt idx="7">
                  <c:v>82.965947368263713</c:v>
                </c:pt>
                <c:pt idx="8">
                  <c:v>87.271290284074723</c:v>
                </c:pt>
                <c:pt idx="9">
                  <c:v>89.714472236602845</c:v>
                </c:pt>
                <c:pt idx="10">
                  <c:v>91.130150681231314</c:v>
                </c:pt>
                <c:pt idx="11">
                  <c:v>92.10390249533512</c:v>
                </c:pt>
                <c:pt idx="12">
                  <c:v>92.820654845875282</c:v>
                </c:pt>
                <c:pt idx="13">
                  <c:v>93.266761135463909</c:v>
                </c:pt>
                <c:pt idx="14">
                  <c:v>93.602251709216816</c:v>
                </c:pt>
                <c:pt idx="15">
                  <c:v>93.859141600071396</c:v>
                </c:pt>
                <c:pt idx="16">
                  <c:v>94.107098452689797</c:v>
                </c:pt>
                <c:pt idx="17">
                  <c:v>94.189985477673062</c:v>
                </c:pt>
                <c:pt idx="18">
                  <c:v>94.213722953224163</c:v>
                </c:pt>
                <c:pt idx="19">
                  <c:v>94.090791500214877</c:v>
                </c:pt>
                <c:pt idx="20">
                  <c:v>93.946416725530867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31-4389-AB7A-4E7C05ABB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391407"/>
        <c:axId val="776398127"/>
      </c:scatterChart>
      <c:valAx>
        <c:axId val="77639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Prąd wyjściowy Iout [A]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76398127"/>
        <c:crosses val="autoZero"/>
        <c:crossBetween val="midCat"/>
      </c:valAx>
      <c:valAx>
        <c:axId val="77639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Sprawność n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76391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654050</xdr:colOff>
      <xdr:row>2</xdr:row>
      <xdr:rowOff>3175</xdr:rowOff>
    </xdr:from>
    <xdr:to>
      <xdr:col>13</xdr:col>
      <xdr:colOff>0</xdr:colOff>
      <xdr:row>17</xdr:row>
      <xdr:rowOff>19050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4CC2D28-8132-8413-9E60-586381478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E4EA-A3A1-4245-B819-BF0C095EF1A3}">
  <dimension ref="A1:F23"/>
  <sheetViews>
    <sheetView tabSelected="1" topLeftCell="A2" workbookViewId="0">
      <selection activeCell="G21" sqref="G21"/>
    </sheetView>
  </sheetViews>
  <sheetFormatPr defaultRowHeight="14"/>
  <cols>
    <col min="1" max="1" width="7.4140625" customWidth="1"/>
    <col min="2" max="2" width="11.5" customWidth="1"/>
    <col min="3" max="3" width="11.25" customWidth="1"/>
    <col min="4" max="4" width="11.4140625" customWidth="1"/>
  </cols>
  <sheetData>
    <row r="1" spans="1:6" ht="52" customHeight="1">
      <c r="A1" s="5" t="s">
        <v>2</v>
      </c>
      <c r="B1" s="5" t="s">
        <v>0</v>
      </c>
      <c r="C1" s="5" t="s">
        <v>8</v>
      </c>
      <c r="D1" s="5" t="s">
        <v>8</v>
      </c>
      <c r="F1" t="s">
        <v>3</v>
      </c>
    </row>
    <row r="2" spans="1:6">
      <c r="A2" t="s">
        <v>4</v>
      </c>
      <c r="B2" t="s">
        <v>5</v>
      </c>
      <c r="C2" t="s">
        <v>6</v>
      </c>
      <c r="D2" t="s">
        <v>7</v>
      </c>
      <c r="E2" t="s">
        <v>1</v>
      </c>
    </row>
    <row r="3" spans="1:6">
      <c r="A3" s="1">
        <v>25.12</v>
      </c>
      <c r="B3" s="4">
        <v>7.7499999999999999E-2</v>
      </c>
      <c r="C3" s="3">
        <v>12.030099999999999</v>
      </c>
      <c r="D3" s="2">
        <v>0</v>
      </c>
      <c r="E3" s="1">
        <f>((C3*D3)/(A3*B3))*100</f>
        <v>0</v>
      </c>
    </row>
    <row r="4" spans="1:6">
      <c r="A4" s="1">
        <v>25.16</v>
      </c>
      <c r="B4" s="4">
        <v>0.1242</v>
      </c>
      <c r="C4" s="3">
        <v>11.9954</v>
      </c>
      <c r="D4" s="2">
        <v>9.9000000000000005E-2</v>
      </c>
      <c r="E4" s="1">
        <f t="shared" ref="E4:E23" si="0">((C4*D4)/(A4*B4))*100</f>
        <v>38.002983802216541</v>
      </c>
    </row>
    <row r="5" spans="1:6">
      <c r="A5" s="1">
        <v>25.12</v>
      </c>
      <c r="B5" s="4">
        <v>0.17166000000000001</v>
      </c>
      <c r="C5" s="3">
        <v>11.950100000000001</v>
      </c>
      <c r="D5" s="2">
        <v>0.19900000000000001</v>
      </c>
      <c r="E5" s="1">
        <f t="shared" si="0"/>
        <v>55.148775334296573</v>
      </c>
    </row>
    <row r="6" spans="1:6">
      <c r="A6" s="1">
        <v>25.12</v>
      </c>
      <c r="B6" s="4">
        <v>0.21873999999999999</v>
      </c>
      <c r="C6" s="3">
        <v>11.9122</v>
      </c>
      <c r="D6" s="2">
        <v>0.29899999999999999</v>
      </c>
      <c r="E6" s="1">
        <f t="shared" si="0"/>
        <v>64.820939585081675</v>
      </c>
    </row>
    <row r="7" spans="1:6">
      <c r="A7" s="1">
        <v>25.14</v>
      </c>
      <c r="B7" s="4">
        <v>0.26572000000000001</v>
      </c>
      <c r="C7" s="3">
        <v>11.879099999999999</v>
      </c>
      <c r="D7" s="2">
        <v>0.39900000000000002</v>
      </c>
      <c r="E7" s="1">
        <f t="shared" si="0"/>
        <v>70.952371671222807</v>
      </c>
    </row>
    <row r="8" spans="1:6">
      <c r="A8" s="1">
        <v>25.16</v>
      </c>
      <c r="B8" s="4">
        <v>0.31158000000000002</v>
      </c>
      <c r="C8" s="3">
        <v>11.8018</v>
      </c>
      <c r="D8" s="2">
        <v>0.499</v>
      </c>
      <c r="E8" s="1">
        <f t="shared" si="0"/>
        <v>75.122249887771346</v>
      </c>
    </row>
    <row r="9" spans="1:6">
      <c r="A9" s="1">
        <v>24.98</v>
      </c>
      <c r="B9" s="4">
        <v>0.42226999999999998</v>
      </c>
      <c r="C9" s="3">
        <v>11.406499999999999</v>
      </c>
      <c r="D9" s="2">
        <v>0.748</v>
      </c>
      <c r="E9" s="1">
        <f t="shared" si="0"/>
        <v>80.885624027201487</v>
      </c>
    </row>
    <row r="10" spans="1:6">
      <c r="A10" s="1">
        <v>24.98</v>
      </c>
      <c r="B10" s="4">
        <v>0.53832999999999998</v>
      </c>
      <c r="C10" s="3">
        <v>11.167999999999999</v>
      </c>
      <c r="D10" s="2">
        <v>0.999</v>
      </c>
      <c r="E10" s="1">
        <f t="shared" si="0"/>
        <v>82.965947368263713</v>
      </c>
    </row>
    <row r="11" spans="1:6">
      <c r="A11" s="1">
        <v>24.97</v>
      </c>
      <c r="B11" s="4">
        <v>0.76456999999999997</v>
      </c>
      <c r="C11" s="3">
        <v>11.1149</v>
      </c>
      <c r="D11" s="2">
        <v>1.4990000000000001</v>
      </c>
      <c r="E11" s="1">
        <f t="shared" si="0"/>
        <v>87.271290284074723</v>
      </c>
    </row>
    <row r="12" spans="1:6">
      <c r="A12" s="1">
        <v>24.96</v>
      </c>
      <c r="B12" s="4">
        <v>0.98958000000000002</v>
      </c>
      <c r="C12" s="3">
        <v>11.079700000000001</v>
      </c>
      <c r="D12" s="2">
        <v>2</v>
      </c>
      <c r="E12" s="1">
        <f t="shared" si="0"/>
        <v>89.714472236602845</v>
      </c>
    </row>
    <row r="13" spans="1:6">
      <c r="A13" s="1">
        <v>24.96</v>
      </c>
      <c r="B13" s="4">
        <v>1.21411</v>
      </c>
      <c r="C13" s="3">
        <v>11.0465</v>
      </c>
      <c r="D13" s="2">
        <v>2.5</v>
      </c>
      <c r="E13" s="1">
        <f t="shared" si="0"/>
        <v>91.130150681231314</v>
      </c>
    </row>
    <row r="14" spans="1:6">
      <c r="A14" s="1">
        <v>24.94</v>
      </c>
      <c r="B14" s="4">
        <v>1.4379999999999999</v>
      </c>
      <c r="C14" s="3">
        <v>11.0143</v>
      </c>
      <c r="D14" s="2">
        <v>2.9990000000000001</v>
      </c>
      <c r="E14" s="1">
        <f t="shared" si="0"/>
        <v>92.10390249533512</v>
      </c>
    </row>
    <row r="15" spans="1:6">
      <c r="A15" s="1">
        <v>24.92</v>
      </c>
      <c r="B15" s="4">
        <v>1.6621699999999999</v>
      </c>
      <c r="C15" s="3">
        <v>10.984999999999999</v>
      </c>
      <c r="D15" s="2">
        <v>3.5</v>
      </c>
      <c r="E15" s="1">
        <f t="shared" si="0"/>
        <v>92.820654845875282</v>
      </c>
    </row>
    <row r="16" spans="1:6">
      <c r="A16" s="1">
        <v>24.91</v>
      </c>
      <c r="B16" s="4">
        <v>1.8858999999999999</v>
      </c>
      <c r="C16" s="3">
        <v>10.9564</v>
      </c>
      <c r="D16" s="2">
        <v>3.9990000000000001</v>
      </c>
      <c r="E16" s="1">
        <f t="shared" si="0"/>
        <v>93.266761135463909</v>
      </c>
    </row>
    <row r="17" spans="1:5">
      <c r="A17" s="1">
        <v>24.9</v>
      </c>
      <c r="B17" s="4">
        <v>2.1101399999999999</v>
      </c>
      <c r="C17" s="3">
        <v>10.9291</v>
      </c>
      <c r="D17" s="2">
        <v>4.5</v>
      </c>
      <c r="E17" s="1">
        <f t="shared" si="0"/>
        <v>93.602251709216816</v>
      </c>
    </row>
    <row r="18" spans="1:5">
      <c r="A18" s="1">
        <v>24.88</v>
      </c>
      <c r="B18" s="4">
        <v>2.33426</v>
      </c>
      <c r="C18" s="3">
        <v>10.901999999999999</v>
      </c>
      <c r="D18" s="2">
        <v>5</v>
      </c>
      <c r="E18" s="1">
        <f t="shared" si="0"/>
        <v>93.859141600071396</v>
      </c>
    </row>
    <row r="19" spans="1:5">
      <c r="A19" s="1">
        <v>24.86</v>
      </c>
      <c r="B19" s="4">
        <v>2.78213</v>
      </c>
      <c r="C19" s="3">
        <v>10.848000000000001</v>
      </c>
      <c r="D19" s="2">
        <v>6</v>
      </c>
      <c r="E19" s="1">
        <f t="shared" si="0"/>
        <v>94.107098452689797</v>
      </c>
    </row>
    <row r="20" spans="1:5">
      <c r="A20" s="1">
        <v>24.64</v>
      </c>
      <c r="B20" s="4">
        <v>3.2295099999999999</v>
      </c>
      <c r="C20" s="3">
        <v>10.7074</v>
      </c>
      <c r="D20" s="2">
        <v>7</v>
      </c>
      <c r="E20" s="1">
        <f t="shared" si="0"/>
        <v>94.189985477673062</v>
      </c>
    </row>
    <row r="21" spans="1:5">
      <c r="A21" s="1">
        <v>24.6</v>
      </c>
      <c r="B21" s="4">
        <v>3.6772300000000002</v>
      </c>
      <c r="C21" s="3">
        <v>10.6532</v>
      </c>
      <c r="D21" s="2">
        <v>8</v>
      </c>
      <c r="E21" s="1">
        <f t="shared" si="0"/>
        <v>94.213722953224163</v>
      </c>
    </row>
    <row r="22" spans="1:5">
      <c r="A22" s="1">
        <v>24.58</v>
      </c>
      <c r="B22" s="4">
        <v>4.1251899999999999</v>
      </c>
      <c r="C22" s="3">
        <v>10.6006</v>
      </c>
      <c r="D22" s="2">
        <v>9</v>
      </c>
      <c r="E22" s="1">
        <f t="shared" si="0"/>
        <v>94.090791500214877</v>
      </c>
    </row>
    <row r="23" spans="1:5">
      <c r="A23" s="1">
        <v>24.56</v>
      </c>
      <c r="B23" s="4">
        <v>4.5738700000000003</v>
      </c>
      <c r="C23" s="3">
        <v>10.5534</v>
      </c>
      <c r="D23" s="2">
        <v>10</v>
      </c>
      <c r="E23" s="1">
        <f t="shared" si="0"/>
        <v>93.946416725530867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Błażej Ch</dc:creator>
  <cp:lastModifiedBy>Błażej Ch</cp:lastModifiedBy>
  <dcterms:created xsi:type="dcterms:W3CDTF">2026-06-10T12:08:16Z</dcterms:created>
  <dcterms:modified xsi:type="dcterms:W3CDTF">2026-06-10T23:37:22Z</dcterms:modified>
</cp:coreProperties>
</file>